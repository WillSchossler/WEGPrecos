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907" codeName="{FA5AD47E-35A0-41CB-BA00-FF3E1634970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uario\Desktop\Files\GUI\storage\repos\WEGPrecos\"/>
    </mc:Choice>
  </mc:AlternateContent>
  <xr:revisionPtr revIDLastSave="0" documentId="13_ncr:1_{97065BD9-7E4D-4D2C-9D51-F1554FF8ECB6}" xr6:coauthVersionLast="37" xr6:coauthVersionMax="47" xr10:uidLastSave="{00000000-0000-0000-0000-000000000000}"/>
  <bookViews>
    <workbookView xWindow="-105" yWindow="-105" windowWidth="19425" windowHeight="10305" tabRatio="500" xr2:uid="{00000000-000D-0000-FFFF-FFFF00000000}"/>
  </bookViews>
  <sheets>
    <sheet name="Preços" sheetId="1" r:id="rId1"/>
  </sheets>
  <functionGroups builtInGroupCount="19">
    <functionGroup name="xlwings"/>
  </functionGroups>
  <calcPr calcId="179021"/>
  <extLst>
    <ext xmlns:x14="http://schemas.microsoft.com/office/spreadsheetml/2009/9/main" uri="{8193D73E-4604-4355-AFF4-8A2333D13BE4}">
      <x14:definedNames>
        <x14:definedName name="calcular_total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ormatar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testar_cub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9" i="1" l="1"/>
  <c r="D11" i="1"/>
  <c r="D10" i="1" l="1"/>
  <c r="C12" i="1" s="1"/>
  <c r="C7" i="1" s="1"/>
  <c r="M15" i="1"/>
  <c r="D16" i="1" l="1"/>
  <c r="D15" i="1"/>
  <c r="D14" i="1"/>
  <c r="C17" i="1"/>
</calcChain>
</file>

<file path=xl/sharedStrings.xml><?xml version="1.0" encoding="utf-8"?>
<sst xmlns="http://schemas.openxmlformats.org/spreadsheetml/2006/main" count="30" uniqueCount="30">
  <si>
    <t>Custo</t>
  </si>
  <si>
    <t>Margens</t>
  </si>
  <si>
    <t>Lucro</t>
  </si>
  <si>
    <t>Impostos</t>
  </si>
  <si>
    <t>IPI</t>
  </si>
  <si>
    <t>Frete</t>
  </si>
  <si>
    <t>Alíquotas</t>
  </si>
  <si>
    <t>Simples</t>
  </si>
  <si>
    <t>Comissões</t>
  </si>
  <si>
    <t>Custo da Mercadoria</t>
  </si>
  <si>
    <t>Diferença de ICMS</t>
  </si>
  <si>
    <t>Preço com Margem</t>
  </si>
  <si>
    <t>PIS e COFINS</t>
  </si>
  <si>
    <t>Valor do Produto</t>
  </si>
  <si>
    <t>Preço Mínimo</t>
  </si>
  <si>
    <t>Código WEG</t>
  </si>
  <si>
    <t>Quantidade</t>
  </si>
  <si>
    <t>Status</t>
  </si>
  <si>
    <t>Valor:</t>
  </si>
  <si>
    <t>IPI:</t>
  </si>
  <si>
    <t>Frete:</t>
  </si>
  <si>
    <t>ICMS:</t>
  </si>
  <si>
    <t>Faturamento:</t>
  </si>
  <si>
    <t>Total:</t>
  </si>
  <si>
    <t>84.83.40.10</t>
  </si>
  <si>
    <t>84.13.70.90</t>
  </si>
  <si>
    <r>
      <rPr>
        <b/>
        <sz val="12"/>
        <color theme="0"/>
        <rFont val="Calibri"/>
        <family val="2"/>
        <scheme val="minor"/>
      </rPr>
      <t>NCMs com Redução</t>
    </r>
    <r>
      <rPr>
        <sz val="12"/>
        <color theme="0"/>
        <rFont val="Calibri"/>
        <family val="2"/>
        <scheme val="minor"/>
      </rPr>
      <t xml:space="preserve"> (Diferença de ICMS = 0)</t>
    </r>
  </si>
  <si>
    <t>84.13.70.80</t>
  </si>
  <si>
    <t>84.13.70.10</t>
  </si>
  <si>
    <t>Entrega: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</si>
</sst>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u val="singleAccounting"/>
      <sz val="14"/>
      <color theme="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2"/>
      <color rgb="FF37FF37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 applyFill="1"/>
    <xf numFmtId="0" fontId="0" fillId="6" borderId="0" xfId="0" applyFill="1" applyAlignment="1">
      <alignment vertical="center"/>
    </xf>
    <xf numFmtId="0" fontId="0" fillId="6" borderId="0" xfId="0" applyFill="1" applyBorder="1" applyAlignment="1">
      <alignment vertical="center"/>
    </xf>
    <xf numFmtId="0" fontId="0" fillId="6" borderId="7" xfId="0" applyFill="1" applyBorder="1" applyAlignment="1">
      <alignment vertical="center"/>
    </xf>
    <xf numFmtId="0" fontId="1" fillId="2" borderId="3" xfId="0" applyFont="1" applyFill="1" applyBorder="1" applyAlignment="1">
      <alignment horizontal="center" vertical="center"/>
    </xf>
    <xf numFmtId="10" fontId="1" fillId="2" borderId="3" xfId="0" applyNumberFormat="1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10" fontId="1" fillId="2" borderId="1" xfId="0" applyNumberFormat="1" applyFont="1" applyFill="1" applyBorder="1" applyAlignment="1">
      <alignment vertical="center"/>
    </xf>
    <xf numFmtId="0" fontId="1" fillId="4" borderId="3" xfId="0" applyFont="1" applyFill="1" applyBorder="1" applyAlignment="1">
      <alignment horizontal="center" vertical="center"/>
    </xf>
    <xf numFmtId="10" fontId="1" fillId="4" borderId="3" xfId="2" applyNumberFormat="1" applyFont="1" applyFill="1" applyBorder="1" applyAlignment="1">
      <alignment vertical="center"/>
    </xf>
    <xf numFmtId="44" fontId="0" fillId="4" borderId="3" xfId="1" applyFont="1" applyFill="1" applyBorder="1" applyAlignment="1">
      <alignment vertical="center"/>
    </xf>
    <xf numFmtId="0" fontId="0" fillId="6" borderId="0" xfId="0" applyFont="1" applyFill="1" applyAlignment="1">
      <alignment vertical="center"/>
    </xf>
    <xf numFmtId="0" fontId="1" fillId="4" borderId="1" xfId="0" applyFont="1" applyFill="1" applyBorder="1" applyAlignment="1">
      <alignment horizontal="center" vertical="center"/>
    </xf>
    <xf numFmtId="10" fontId="1" fillId="4" borderId="1" xfId="2" applyNumberFormat="1" applyFont="1" applyFill="1" applyBorder="1" applyAlignment="1">
      <alignment vertical="center"/>
    </xf>
    <xf numFmtId="44" fontId="0" fillId="4" borderId="1" xfId="1" applyFont="1" applyFill="1" applyBorder="1" applyAlignment="1">
      <alignment vertical="center"/>
    </xf>
    <xf numFmtId="0" fontId="0" fillId="3" borderId="3" xfId="0" applyFill="1" applyBorder="1" applyAlignment="1">
      <alignment vertical="center"/>
    </xf>
    <xf numFmtId="10" fontId="0" fillId="3" borderId="3" xfId="0" applyNumberFormat="1" applyFill="1" applyBorder="1" applyAlignment="1">
      <alignment vertical="center"/>
    </xf>
    <xf numFmtId="44" fontId="0" fillId="3" borderId="3" xfId="1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10" fontId="0" fillId="3" borderId="1" xfId="0" applyNumberFormat="1" applyFill="1" applyBorder="1" applyAlignment="1">
      <alignment vertical="center"/>
    </xf>
    <xf numFmtId="44" fontId="0" fillId="3" borderId="1" xfId="1" applyFont="1" applyFill="1" applyBorder="1" applyAlignment="1">
      <alignment vertical="center"/>
    </xf>
    <xf numFmtId="0" fontId="0" fillId="6" borderId="5" xfId="0" applyFill="1" applyBorder="1" applyAlignment="1">
      <alignment vertical="center"/>
    </xf>
    <xf numFmtId="0" fontId="0" fillId="6" borderId="6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11" xfId="0" applyBorder="1"/>
    <xf numFmtId="0" fontId="0" fillId="8" borderId="17" xfId="0" applyFill="1" applyBorder="1" applyAlignment="1">
      <alignment vertical="center"/>
    </xf>
    <xf numFmtId="0" fontId="0" fillId="8" borderId="14" xfId="0" applyFill="1" applyBorder="1" applyAlignment="1">
      <alignment vertical="center"/>
    </xf>
    <xf numFmtId="0" fontId="0" fillId="8" borderId="13" xfId="0" applyFill="1" applyBorder="1" applyAlignment="1">
      <alignment vertical="center"/>
    </xf>
    <xf numFmtId="0" fontId="0" fillId="8" borderId="12" xfId="0" applyFill="1" applyBorder="1" applyAlignment="1">
      <alignment vertical="center"/>
    </xf>
    <xf numFmtId="0" fontId="0" fillId="8" borderId="19" xfId="0" applyFill="1" applyBorder="1" applyAlignment="1">
      <alignment vertical="center"/>
    </xf>
    <xf numFmtId="0" fontId="0" fillId="8" borderId="16" xfId="0" applyFill="1" applyBorder="1" applyAlignment="1">
      <alignment vertical="center"/>
    </xf>
    <xf numFmtId="0" fontId="0" fillId="8" borderId="15" xfId="0" applyFill="1" applyBorder="1" applyAlignment="1">
      <alignment vertical="center"/>
    </xf>
    <xf numFmtId="0" fontId="0" fillId="8" borderId="18" xfId="0" applyFill="1" applyBorder="1" applyAlignment="1">
      <alignment vertical="center"/>
    </xf>
    <xf numFmtId="0" fontId="0" fillId="8" borderId="18" xfId="0" applyFill="1" applyBorder="1"/>
    <xf numFmtId="0" fontId="3" fillId="12" borderId="0" xfId="0" applyFont="1" applyFill="1" applyAlignment="1">
      <alignment vertical="center"/>
    </xf>
    <xf numFmtId="0" fontId="0" fillId="12" borderId="0" xfId="0" applyFill="1"/>
    <xf numFmtId="0" fontId="3" fillId="12" borderId="0" xfId="0" applyFont="1" applyFill="1"/>
    <xf numFmtId="0" fontId="4" fillId="12" borderId="0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0" fillId="5" borderId="4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0" fontId="5" fillId="8" borderId="2" xfId="0" applyFont="1" applyFill="1" applyBorder="1" applyAlignment="1">
      <alignment horizontal="center" vertical="center"/>
    </xf>
    <xf numFmtId="164" fontId="7" fillId="7" borderId="2" xfId="1" applyNumberFormat="1" applyFont="1" applyFill="1" applyBorder="1" applyAlignment="1">
      <alignment vertical="center"/>
    </xf>
    <xf numFmtId="0" fontId="4" fillId="12" borderId="0" xfId="0" applyFont="1" applyFill="1" applyBorder="1" applyAlignment="1">
      <alignment horizontal="right" vertical="center"/>
    </xf>
    <xf numFmtId="164" fontId="5" fillId="8" borderId="4" xfId="0" applyNumberFormat="1" applyFont="1" applyFill="1" applyBorder="1" applyAlignment="1">
      <alignment horizontal="center" vertical="center"/>
    </xf>
    <xf numFmtId="0" fontId="4" fillId="12" borderId="0" xfId="0" applyFont="1" applyFill="1" applyAlignment="1">
      <alignment horizontal="right" vertical="center"/>
    </xf>
    <xf numFmtId="10" fontId="3" fillId="12" borderId="0" xfId="0" applyNumberFormat="1" applyFont="1" applyFill="1" applyBorder="1" applyAlignment="1">
      <alignment horizontal="left" vertical="center"/>
    </xf>
    <xf numFmtId="0" fontId="5" fillId="12" borderId="0" xfId="0" applyFont="1" applyFill="1" applyBorder="1" applyAlignment="1">
      <alignment horizontal="right" vertical="center"/>
    </xf>
    <xf numFmtId="0" fontId="0" fillId="6" borderId="16" xfId="0" applyFill="1" applyBorder="1" applyAlignment="1">
      <alignment vertical="center"/>
    </xf>
    <xf numFmtId="49" fontId="3" fillId="12" borderId="0" xfId="0" applyNumberFormat="1" applyFont="1" applyFill="1" applyBorder="1" applyAlignment="1">
      <alignment horizontal="left" vertical="center"/>
    </xf>
    <xf numFmtId="0" fontId="0" fillId="6" borderId="24" xfId="0" applyFill="1" applyBorder="1" applyAlignment="1">
      <alignment vertical="center"/>
    </xf>
    <xf numFmtId="2" fontId="6" fillId="7" borderId="4" xfId="1" applyNumberFormat="1" applyFont="1" applyFill="1" applyBorder="1" applyAlignment="1">
      <alignment vertical="center"/>
    </xf>
    <xf numFmtId="0" fontId="4" fillId="13" borderId="1" xfId="0" applyFont="1" applyFill="1" applyBorder="1" applyAlignment="1">
      <alignment horizontal="center" vertical="center"/>
    </xf>
    <xf numFmtId="0" fontId="4" fillId="13" borderId="3" xfId="0" applyFont="1" applyFill="1" applyBorder="1" applyAlignment="1">
      <alignment horizontal="center" vertical="center"/>
    </xf>
    <xf numFmtId="0" fontId="4" fillId="8" borderId="25" xfId="0" applyFont="1" applyFill="1" applyBorder="1" applyAlignment="1">
      <alignment horizontal="center" vertical="center"/>
    </xf>
    <xf numFmtId="0" fontId="6" fillId="7" borderId="3" xfId="0" applyNumberFormat="1" applyFont="1" applyFill="1" applyBorder="1" applyAlignment="1">
      <alignment horizontal="center" vertical="center"/>
    </xf>
    <xf numFmtId="0" fontId="5" fillId="8" borderId="25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164" fontId="6" fillId="12" borderId="0" xfId="0" applyNumberFormat="1" applyFont="1" applyFill="1" applyBorder="1" applyAlignment="1">
      <alignment horizontal="left" vertical="center"/>
    </xf>
    <xf numFmtId="10" fontId="0" fillId="6" borderId="28" xfId="0" applyNumberFormat="1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12" borderId="0" xfId="0" applyFill="1" applyAlignment="1">
      <alignment horizontal="center"/>
    </xf>
    <xf numFmtId="164" fontId="1" fillId="5" borderId="22" xfId="1" applyNumberFormat="1" applyFont="1" applyFill="1" applyBorder="1" applyAlignment="1">
      <alignment horizontal="center" vertical="center"/>
    </xf>
    <xf numFmtId="164" fontId="1" fillId="5" borderId="23" xfId="1" applyNumberFormat="1" applyFont="1" applyFill="1" applyBorder="1" applyAlignment="1">
      <alignment horizontal="center" vertical="center"/>
    </xf>
    <xf numFmtId="0" fontId="9" fillId="12" borderId="0" xfId="0" applyFont="1" applyFill="1" applyAlignment="1">
      <alignment horizontal="center" vertical="center" wrapText="1"/>
    </xf>
    <xf numFmtId="0" fontId="8" fillId="12" borderId="0" xfId="0" applyFont="1" applyFill="1" applyAlignment="1">
      <alignment horizontal="center" vertical="center" wrapText="1"/>
    </xf>
    <xf numFmtId="0" fontId="5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 wrapText="1"/>
    </xf>
    <xf numFmtId="0" fontId="4" fillId="12" borderId="0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164" fontId="2" fillId="5" borderId="20" xfId="1" applyNumberFormat="1" applyFont="1" applyFill="1" applyBorder="1" applyAlignment="1">
      <alignment horizontal="center" vertical="center"/>
    </xf>
    <xf numFmtId="164" fontId="2" fillId="5" borderId="21" xfId="1" applyNumberFormat="1" applyFont="1" applyFill="1" applyBorder="1" applyAlignment="1">
      <alignment horizontal="center" vertical="center"/>
    </xf>
    <xf numFmtId="164" fontId="3" fillId="12" borderId="0" xfId="0" applyNumberFormat="1" applyFont="1" applyFill="1" applyAlignment="1">
      <alignment horizontal="left" vertical="center"/>
    </xf>
    <xf numFmtId="0" fontId="3" fillId="14" borderId="26" xfId="0" applyFont="1" applyFill="1" applyBorder="1" applyAlignment="1">
      <alignment horizontal="center" vertical="center" wrapText="1"/>
    </xf>
    <xf numFmtId="0" fontId="3" fillId="14" borderId="27" xfId="0" applyFont="1" applyFill="1" applyBorder="1" applyAlignment="1">
      <alignment horizontal="center" vertical="center" wrapText="1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9" defaultPivotStyle="PivotStyleMedium4"/>
  <colors>
    <mruColors>
      <color rgb="FFCCFFFF"/>
      <color rgb="FFFF5050"/>
      <color rgb="FFCCFF99"/>
      <color rgb="FFFFFF99"/>
      <color rgb="FFFF9999"/>
      <color rgb="FFFFCCCC"/>
      <color rgb="FF99CCFF"/>
      <color rgb="FF006600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9"/>
  <sheetViews>
    <sheetView tabSelected="1" zoomScaleNormal="100" workbookViewId="0">
      <selection activeCell="D5" sqref="D5"/>
    </sheetView>
  </sheetViews>
  <sheetFormatPr defaultColWidth="11" defaultRowHeight="15.75" x14ac:dyDescent="0.25"/>
  <cols>
    <col min="1" max="1" width="3.625" customWidth="1"/>
    <col min="2" max="2" width="21.625" customWidth="1"/>
    <col min="3" max="3" width="15.625" customWidth="1"/>
    <col min="4" max="4" width="12.75" bestFit="1" customWidth="1"/>
    <col min="5" max="5" width="4.625" customWidth="1"/>
    <col min="6" max="6" width="20.125" customWidth="1"/>
    <col min="7" max="8" width="2.625" customWidth="1"/>
    <col min="9" max="9" width="3.625" customWidth="1"/>
    <col min="10" max="10" width="10.625" customWidth="1"/>
    <col min="11" max="11" width="12.625" customWidth="1"/>
    <col min="12" max="13" width="13.625" customWidth="1"/>
    <col min="14" max="14" width="12.625" customWidth="1"/>
    <col min="15" max="15" width="10.625" customWidth="1"/>
    <col min="16" max="17" width="3.625" customWidth="1"/>
  </cols>
  <sheetData>
    <row r="1" spans="1:17" ht="17.100000000000001" customHeight="1" thickBot="1" x14ac:dyDescent="0.3">
      <c r="A1" s="2"/>
      <c r="B1" s="61"/>
      <c r="C1" s="61"/>
      <c r="D1" s="2"/>
      <c r="E1" s="3"/>
      <c r="F1" s="3"/>
      <c r="G1" s="2"/>
      <c r="H1" s="50"/>
      <c r="I1" s="26"/>
      <c r="J1" s="33"/>
      <c r="K1" s="33"/>
      <c r="L1" s="33"/>
      <c r="M1" s="33"/>
      <c r="N1" s="33"/>
      <c r="O1" s="34"/>
      <c r="P1" s="30"/>
      <c r="Q1" s="4"/>
    </row>
    <row r="2" spans="1:17" ht="21.75" thickBot="1" x14ac:dyDescent="0.3">
      <c r="A2" s="2"/>
      <c r="B2" s="43" t="s">
        <v>13</v>
      </c>
      <c r="C2" s="44"/>
      <c r="D2" s="12"/>
      <c r="E2" s="3"/>
      <c r="F2" s="58" t="s">
        <v>15</v>
      </c>
      <c r="G2" s="2"/>
      <c r="H2" s="50"/>
      <c r="I2" s="27"/>
      <c r="J2" s="68" t="s">
        <v>17</v>
      </c>
      <c r="K2" s="68"/>
      <c r="L2" s="68"/>
      <c r="M2" s="68"/>
      <c r="N2" s="68"/>
      <c r="O2" s="68"/>
      <c r="P2" s="31"/>
      <c r="Q2" s="4"/>
    </row>
    <row r="3" spans="1:17" ht="19.5" thickBot="1" x14ac:dyDescent="0.3">
      <c r="A3" s="2"/>
      <c r="B3" s="62"/>
      <c r="C3" s="62"/>
      <c r="D3" s="2"/>
      <c r="E3" s="3"/>
      <c r="F3" s="57"/>
      <c r="G3" s="2"/>
      <c r="H3" s="50"/>
      <c r="I3" s="27"/>
      <c r="J3" s="66"/>
      <c r="K3" s="67"/>
      <c r="L3" s="67"/>
      <c r="M3" s="67"/>
      <c r="N3" s="67"/>
      <c r="O3" s="67"/>
      <c r="P3" s="31"/>
      <c r="Q3" s="4"/>
    </row>
    <row r="4" spans="1:17" ht="16.5" thickBot="1" x14ac:dyDescent="0.3">
      <c r="A4" s="2"/>
      <c r="B4" s="74" t="s">
        <v>1</v>
      </c>
      <c r="C4" s="75"/>
      <c r="D4" s="2"/>
      <c r="E4" s="3"/>
      <c r="F4" s="3"/>
      <c r="G4" s="2"/>
      <c r="H4" s="50"/>
      <c r="I4" s="27"/>
      <c r="J4" s="67"/>
      <c r="K4" s="67"/>
      <c r="L4" s="67"/>
      <c r="M4" s="67"/>
      <c r="N4" s="67"/>
      <c r="O4" s="67"/>
      <c r="P4" s="31"/>
      <c r="Q4" s="4"/>
    </row>
    <row r="5" spans="1:17" ht="22.5" customHeight="1" thickBot="1" x14ac:dyDescent="0.3">
      <c r="A5" s="2"/>
      <c r="B5" s="5" t="s">
        <v>0</v>
      </c>
      <c r="C5" s="6">
        <v>0.1</v>
      </c>
      <c r="D5" s="2"/>
      <c r="E5" s="3"/>
      <c r="F5" s="56" t="s">
        <v>16</v>
      </c>
      <c r="G5" s="2"/>
      <c r="H5" s="50"/>
      <c r="I5" s="27"/>
      <c r="J5" s="69"/>
      <c r="K5" s="69"/>
      <c r="L5" s="69"/>
      <c r="M5" s="69"/>
      <c r="N5" s="69"/>
      <c r="O5" s="69"/>
      <c r="P5" s="31"/>
      <c r="Q5" s="4"/>
    </row>
    <row r="6" spans="1:17" ht="19.5" customHeight="1" x14ac:dyDescent="0.25">
      <c r="A6" s="2"/>
      <c r="B6" s="7" t="s">
        <v>2</v>
      </c>
      <c r="C6" s="8">
        <v>7.0000000000000007E-2</v>
      </c>
      <c r="D6" s="2"/>
      <c r="E6" s="3"/>
      <c r="F6" s="59">
        <v>1</v>
      </c>
      <c r="G6" s="2"/>
      <c r="H6" s="50"/>
      <c r="I6" s="27"/>
      <c r="J6" s="69"/>
      <c r="K6" s="69"/>
      <c r="L6" s="69"/>
      <c r="M6" s="69"/>
      <c r="N6" s="69"/>
      <c r="O6" s="69"/>
      <c r="P6" s="31"/>
      <c r="Q6" s="4"/>
    </row>
    <row r="7" spans="1:17" ht="21" customHeight="1" thickBot="1" x14ac:dyDescent="0.3">
      <c r="A7" s="2"/>
      <c r="B7" s="46" t="s">
        <v>11</v>
      </c>
      <c r="C7" s="53">
        <f>C12 / (1 - SUM(C5:C6, C14:C16))</f>
        <v>0</v>
      </c>
      <c r="D7" s="2"/>
      <c r="E7" s="3"/>
      <c r="F7" s="52"/>
      <c r="G7" s="2"/>
      <c r="H7" s="50"/>
      <c r="I7" s="27"/>
      <c r="J7" s="35"/>
      <c r="K7" s="35"/>
      <c r="L7" s="36"/>
      <c r="M7" s="63"/>
      <c r="N7" s="63"/>
      <c r="O7" s="37"/>
      <c r="P7" s="31"/>
      <c r="Q7" s="4"/>
    </row>
    <row r="8" spans="1:17" ht="18" customHeight="1" thickBot="1" x14ac:dyDescent="0.3">
      <c r="A8" s="2"/>
      <c r="B8" s="71" t="s">
        <v>3</v>
      </c>
      <c r="C8" s="72"/>
      <c r="D8" s="73"/>
      <c r="E8" s="3"/>
      <c r="F8" s="82" t="s">
        <v>26</v>
      </c>
      <c r="G8" s="2"/>
      <c r="H8" s="50"/>
      <c r="I8" s="27"/>
      <c r="J8" s="38"/>
      <c r="K8" s="38"/>
      <c r="L8" s="47" t="s">
        <v>18</v>
      </c>
      <c r="M8" s="81"/>
      <c r="N8" s="81"/>
      <c r="O8" s="38"/>
      <c r="P8" s="31"/>
      <c r="Q8" s="4"/>
    </row>
    <row r="9" spans="1:17" ht="18" customHeight="1" thickBot="1" x14ac:dyDescent="0.3">
      <c r="A9" s="2"/>
      <c r="B9" s="9" t="s">
        <v>4</v>
      </c>
      <c r="C9" s="10">
        <v>0</v>
      </c>
      <c r="D9" s="11">
        <f>C2*C9</f>
        <v>0</v>
      </c>
      <c r="E9" s="3"/>
      <c r="F9" s="83"/>
      <c r="G9" s="2"/>
      <c r="H9" s="50"/>
      <c r="I9" s="27"/>
      <c r="J9" s="38"/>
      <c r="K9" s="38"/>
      <c r="L9" s="45" t="s">
        <v>19</v>
      </c>
      <c r="M9" s="48"/>
      <c r="N9" s="38"/>
      <c r="O9" s="38"/>
      <c r="P9" s="31"/>
      <c r="Q9" s="4"/>
    </row>
    <row r="10" spans="1:17" ht="18" customHeight="1" x14ac:dyDescent="0.25">
      <c r="A10" s="2"/>
      <c r="B10" s="13" t="s">
        <v>5</v>
      </c>
      <c r="C10" s="14">
        <v>0</v>
      </c>
      <c r="D10" s="15">
        <f>(C2+D9)*C10</f>
        <v>0</v>
      </c>
      <c r="E10" s="3"/>
      <c r="F10" s="55" t="s">
        <v>24</v>
      </c>
      <c r="G10" s="2"/>
      <c r="H10" s="50"/>
      <c r="I10" s="27"/>
      <c r="J10" s="38"/>
      <c r="K10" s="38"/>
      <c r="L10" s="45" t="s">
        <v>20</v>
      </c>
      <c r="M10" s="48"/>
      <c r="N10" s="38"/>
      <c r="O10" s="38"/>
      <c r="P10" s="31"/>
      <c r="Q10" s="4"/>
    </row>
    <row r="11" spans="1:17" ht="18" customHeight="1" x14ac:dyDescent="0.25">
      <c r="A11" s="2"/>
      <c r="B11" s="13" t="s">
        <v>10</v>
      </c>
      <c r="C11" s="14">
        <v>0.05</v>
      </c>
      <c r="D11" s="15">
        <f>C2*C11</f>
        <v>0</v>
      </c>
      <c r="E11" s="3"/>
      <c r="F11" s="54" t="s">
        <v>28</v>
      </c>
      <c r="G11" s="2"/>
      <c r="H11" s="50"/>
      <c r="I11" s="27"/>
      <c r="J11" s="38"/>
      <c r="K11" s="38"/>
      <c r="L11" s="42" t="s">
        <v>21</v>
      </c>
      <c r="M11" s="48"/>
      <c r="N11" s="38"/>
      <c r="O11" s="38"/>
      <c r="P11" s="31"/>
      <c r="Q11" s="4"/>
    </row>
    <row r="12" spans="1:17" ht="18" customHeight="1" thickBot="1" x14ac:dyDescent="0.3">
      <c r="A12" s="2"/>
      <c r="B12" s="40" t="s">
        <v>9</v>
      </c>
      <c r="C12" s="79">
        <f>SUM(D9:D11, C2)</f>
        <v>0</v>
      </c>
      <c r="D12" s="80"/>
      <c r="E12" s="3"/>
      <c r="F12" s="54" t="s">
        <v>27</v>
      </c>
      <c r="G12" s="2"/>
      <c r="H12" s="50"/>
      <c r="I12" s="27"/>
      <c r="J12" s="38"/>
      <c r="K12" s="38"/>
      <c r="L12" s="38"/>
      <c r="M12" s="38"/>
      <c r="N12" s="38"/>
      <c r="O12" s="38"/>
      <c r="P12" s="31"/>
      <c r="Q12" s="4"/>
    </row>
    <row r="13" spans="1:17" ht="18" customHeight="1" thickBot="1" x14ac:dyDescent="0.3">
      <c r="A13" s="2"/>
      <c r="B13" s="76" t="s">
        <v>6</v>
      </c>
      <c r="C13" s="77"/>
      <c r="D13" s="78"/>
      <c r="E13" s="3"/>
      <c r="F13" s="54" t="s">
        <v>25</v>
      </c>
      <c r="G13" s="2"/>
      <c r="H13" s="50"/>
      <c r="I13" s="27"/>
      <c r="J13" s="38"/>
      <c r="K13" s="39" t="s">
        <v>22</v>
      </c>
      <c r="L13" s="51"/>
      <c r="M13" s="39" t="s">
        <v>29</v>
      </c>
      <c r="N13" s="51"/>
      <c r="O13" s="38"/>
      <c r="P13" s="31"/>
      <c r="Q13" s="4"/>
    </row>
    <row r="14" spans="1:17" ht="18" customHeight="1" x14ac:dyDescent="0.25">
      <c r="A14" s="2"/>
      <c r="B14" s="16" t="s">
        <v>7</v>
      </c>
      <c r="C14" s="17">
        <v>0.15</v>
      </c>
      <c r="D14" s="18">
        <f>C12*C14</f>
        <v>0</v>
      </c>
      <c r="E14" s="3"/>
      <c r="G14" s="2"/>
      <c r="H14" s="50"/>
      <c r="I14" s="27"/>
      <c r="J14" s="38"/>
      <c r="K14" s="38"/>
      <c r="L14" s="38"/>
      <c r="M14" s="38"/>
      <c r="N14" s="38"/>
      <c r="O14" s="38"/>
      <c r="P14" s="31"/>
      <c r="Q14" s="4"/>
    </row>
    <row r="15" spans="1:17" ht="18" customHeight="1" x14ac:dyDescent="0.25">
      <c r="A15" s="2"/>
      <c r="B15" s="19" t="s">
        <v>8</v>
      </c>
      <c r="C15" s="20">
        <v>2.5000000000000001E-2</v>
      </c>
      <c r="D15" s="21">
        <f>C12*C15</f>
        <v>0</v>
      </c>
      <c r="E15" s="3"/>
      <c r="F15" s="3"/>
      <c r="G15" s="2"/>
      <c r="H15" s="50"/>
      <c r="I15" s="27"/>
      <c r="J15" s="38"/>
      <c r="K15" s="38"/>
      <c r="L15" s="49" t="s">
        <v>23</v>
      </c>
      <c r="M15" s="60">
        <f>calcular_total(M8, C2, C7, F6)</f>
        <v>0</v>
      </c>
      <c r="N15" s="38"/>
      <c r="O15" s="38"/>
      <c r="P15" s="31"/>
      <c r="Q15" s="4"/>
    </row>
    <row r="16" spans="1:17" ht="18" customHeight="1" x14ac:dyDescent="0.25">
      <c r="A16" s="2"/>
      <c r="B16" s="19" t="s">
        <v>12</v>
      </c>
      <c r="C16" s="20">
        <v>0</v>
      </c>
      <c r="D16" s="21">
        <f>C12*C16</f>
        <v>0</v>
      </c>
      <c r="E16" s="3"/>
      <c r="F16" s="3"/>
      <c r="G16" s="2"/>
      <c r="H16" s="50"/>
      <c r="I16" s="27"/>
      <c r="J16" s="70"/>
      <c r="K16" s="70"/>
      <c r="L16" s="70"/>
      <c r="M16" s="70"/>
      <c r="N16" s="70"/>
      <c r="O16" s="70"/>
      <c r="P16" s="31"/>
      <c r="Q16" s="4"/>
    </row>
    <row r="17" spans="1:17" ht="18" customHeight="1" x14ac:dyDescent="0.25">
      <c r="A17" s="2"/>
      <c r="B17" s="41" t="s">
        <v>14</v>
      </c>
      <c r="C17" s="64">
        <f>C12 / (1 - SUM(C5,C14:C16))</f>
        <v>0</v>
      </c>
      <c r="D17" s="65"/>
      <c r="E17" s="3"/>
      <c r="F17" s="3"/>
      <c r="G17" s="2"/>
      <c r="H17" s="50"/>
      <c r="I17" s="28"/>
      <c r="J17" s="29"/>
      <c r="K17" s="29"/>
      <c r="L17" s="29"/>
      <c r="M17" s="29"/>
      <c r="N17" s="29"/>
      <c r="O17" s="29"/>
      <c r="P17" s="32"/>
      <c r="Q17" s="4"/>
    </row>
    <row r="18" spans="1:17" ht="18" customHeight="1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4"/>
      <c r="P18" s="22"/>
      <c r="Q18" s="23"/>
    </row>
    <row r="19" spans="1:17" x14ac:dyDescent="0.25">
      <c r="A19" s="1"/>
      <c r="B19" s="1"/>
      <c r="C19" s="1"/>
      <c r="D19" s="1"/>
      <c r="E19" s="1"/>
      <c r="K19" s="25"/>
    </row>
  </sheetData>
  <mergeCells count="14">
    <mergeCell ref="B1:C1"/>
    <mergeCell ref="B3:C3"/>
    <mergeCell ref="M7:N7"/>
    <mergeCell ref="C17:D17"/>
    <mergeCell ref="J3:O4"/>
    <mergeCell ref="J2:O2"/>
    <mergeCell ref="J5:O6"/>
    <mergeCell ref="J16:O16"/>
    <mergeCell ref="B8:D8"/>
    <mergeCell ref="B4:C4"/>
    <mergeCell ref="B13:D13"/>
    <mergeCell ref="C12:D12"/>
    <mergeCell ref="M8:N8"/>
    <mergeCell ref="F8:F9"/>
  </mergeCells>
  <pageMargins left="0.75" right="0.75" top="1" bottom="1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Preços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Usuario</cp:lastModifiedBy>
  <dcterms:created xsi:type="dcterms:W3CDTF">2015-01-25T11:31:25Z</dcterms:created>
  <dcterms:modified xsi:type="dcterms:W3CDTF">2025-12-13T12:59:35Z</dcterms:modified>
</cp:coreProperties>
</file>