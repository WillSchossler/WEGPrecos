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907" codeName="{FA5AD47E-35A0-41CB-BA00-FF3E1634970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Files\GUI\storage\repos\WEGPrecos\"/>
    </mc:Choice>
  </mc:AlternateContent>
  <xr:revisionPtr revIDLastSave="0" documentId="13_ncr:1_{A75F2273-07E8-40A4-A0E7-14D3CCB77039}" xr6:coauthVersionLast="37" xr6:coauthVersionMax="47" xr10:uidLastSave="{00000000-0000-0000-0000-000000000000}"/>
  <bookViews>
    <workbookView xWindow="0" yWindow="0" windowWidth="12270" windowHeight="6330" tabRatio="500" xr2:uid="{00000000-000D-0000-FFFF-FFFF00000000}"/>
  </bookViews>
  <sheets>
    <sheet name="Preços" sheetId="1" r:id="rId1"/>
    <sheet name="Quadros" sheetId="2" r:id="rId2"/>
  </sheets>
  <functionGroups builtInGroupCount="19">
    <functionGroup name="xlwings"/>
  </functionGroups>
  <calcPr calcId="179021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<sst xmlns="http://schemas.openxmlformats.org/spreadsheetml/2006/main" count="46" uniqueCount="46">
  <si>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</si>
  <si>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</si>
  <si>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</si>
  <si>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</si>
  <si>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</si>
  <si>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</si>
  <si>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</si>
  <si>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</si>
  <si>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</si>
  <si>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</si>
  <si>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</si>
  <si>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</si>
  <si>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</si>
  <si>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</si>
  <si>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</si>
  <si>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</si>
  <si>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</si>
  <si>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</si>
  <si>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</si>
  <si>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</si>
  <si>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</si>
  <si>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</si>
  <si>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</si>
  <si>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</si>
  <si>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</si>
  <si>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</si>
  <si>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</si>
  <si>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</si>
  <si>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</si>
  <si>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Tamanho</t>
  </si>
  <si>
    <t>300x200x200</t>
  </si>
  <si>
    <t>300x300x200</t>
  </si>
  <si>
    <t>350x250x140</t>
  </si>
  <si>
    <t>400x300x200</t>
  </si>
  <si>
    <t>500x400x200</t>
  </si>
  <si>
    <t>600x400x200</t>
  </si>
  <si>
    <t>600x500x200</t>
  </si>
  <si>
    <t>600x600x200</t>
  </si>
  <si>
    <t>600x500x250</t>
  </si>
  <si>
    <t>120x800x300</t>
  </si>
  <si>
    <t>Estoque</t>
  </si>
  <si>
    <t>Entrega:</t>
  </si>
  <si>
    <t>04/11/2025</t>
  </si>
  <si>
    <t>RELE MONITORAMENTO RMW17-FF01D97</t>
  </si>
  <si>
    <t>06/11/2025</t>
  </si>
  <si>
    <t>Pesquisa do item 14226362 realizada com sucesso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</si>
</sst>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E7" sqref="E7"/>
    </sheetView>
  </sheetViews>
  <sheetFormatPr defaultColWidth="11" defaultRowHeight="15.75" x14ac:dyDescent="0.2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3">
      <c r="A1" s="2"/>
      <c r="B1" s="63"/>
      <c r="C1" s="63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1.75" thickBot="1" x14ac:dyDescent="0.3">
      <c r="A2" s="2"/>
      <c r="B2" s="43" t="s">
        <v>13</v>
      </c>
      <c r="C2" s="44">
        <v>129.72999999999999</v>
      </c>
      <c r="D2" s="12"/>
      <c r="E2" s="3"/>
      <c r="F2" s="58" t="s">
        <v>15</v>
      </c>
      <c r="G2" s="2"/>
      <c r="H2" s="50"/>
      <c r="I2" s="27"/>
      <c r="J2" s="70" t="s">
        <v>17</v>
      </c>
      <c r="K2" s="70"/>
      <c r="L2" s="70"/>
      <c r="M2" s="70"/>
      <c r="N2" s="70"/>
      <c r="O2" s="70"/>
      <c r="P2" s="31"/>
      <c r="Q2" s="4"/>
    </row>
    <row r="3" spans="1:17" ht="19.5" thickBot="1" x14ac:dyDescent="0.3">
      <c r="A3" s="2"/>
      <c r="B3" s="64"/>
      <c r="C3" s="64"/>
      <c r="D3" s="2"/>
      <c r="E3" s="3"/>
      <c r="F3" s="57">
        <v>14226362</v>
      </c>
      <c r="G3" s="2"/>
      <c r="H3" s="50"/>
      <c r="I3" s="27"/>
      <c r="J3" s="68" t="s">
        <v>45</v>
      </c>
      <c r="K3" s="69"/>
      <c r="L3" s="69"/>
      <c r="M3" s="69"/>
      <c r="N3" s="69"/>
      <c r="O3" s="69"/>
      <c r="P3" s="31"/>
      <c r="Q3" s="4"/>
    </row>
    <row r="4" spans="1:17" ht="16.5" thickBot="1" x14ac:dyDescent="0.3">
      <c r="A4" s="2"/>
      <c r="B4" s="76" t="s">
        <v>1</v>
      </c>
      <c r="C4" s="77"/>
      <c r="D4" s="2"/>
      <c r="E4" s="3"/>
      <c r="F4" s="3"/>
      <c r="G4" s="2"/>
      <c r="H4" s="50"/>
      <c r="I4" s="27"/>
      <c r="J4" s="69"/>
      <c r="K4" s="69"/>
      <c r="L4" s="69"/>
      <c r="M4" s="69"/>
      <c r="N4" s="69"/>
      <c r="O4" s="69"/>
      <c r="P4" s="31"/>
      <c r="Q4" s="4"/>
    </row>
    <row r="5" spans="1:17" ht="22.5" customHeight="1" thickBot="1" x14ac:dyDescent="0.3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71" t="s">
        <v>43</v>
      </c>
      <c r="K5" s="71"/>
      <c r="L5" s="71"/>
      <c r="M5" s="71"/>
      <c r="N5" s="71"/>
      <c r="O5" s="71"/>
      <c r="P5" s="31"/>
      <c r="Q5" s="4"/>
    </row>
    <row r="6" spans="1:17" ht="19.5" customHeight="1" x14ac:dyDescent="0.2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71"/>
      <c r="K6" s="71"/>
      <c r="L6" s="71"/>
      <c r="M6" s="71"/>
      <c r="N6" s="71"/>
      <c r="O6" s="71"/>
      <c r="P6" s="31"/>
      <c r="Q6" s="4"/>
    </row>
    <row r="7" spans="1:17" ht="21" customHeight="1" thickBot="1" x14ac:dyDescent="0.3">
      <c r="A7" s="2"/>
      <c r="B7" s="46" t="s">
        <v>11</v>
      </c>
      <c r="C7" s="53">
        <f>C12 / (1 - SUM(C5:C6, C14:C16))</f>
        <v>214.40110687022897</v>
      </c>
      <c r="D7" s="2"/>
      <c r="E7" s="3"/>
      <c r="F7" s="52"/>
      <c r="G7" s="2"/>
      <c r="H7" s="50"/>
      <c r="I7" s="27"/>
      <c r="J7" s="35"/>
      <c r="K7" s="35"/>
      <c r="L7" s="36"/>
      <c r="M7" s="65"/>
      <c r="N7" s="65"/>
      <c r="O7" s="37"/>
      <c r="P7" s="31"/>
      <c r="Q7" s="4"/>
    </row>
    <row r="8" spans="1:17" ht="18" customHeight="1" thickBot="1" x14ac:dyDescent="0.3">
      <c r="A8" s="2"/>
      <c r="B8" s="73" t="s">
        <v>3</v>
      </c>
      <c r="C8" s="74"/>
      <c r="D8" s="75"/>
      <c r="E8" s="3"/>
      <c r="F8" s="84" t="s">
        <v>26</v>
      </c>
      <c r="G8" s="2"/>
      <c r="H8" s="50"/>
      <c r="I8" s="27"/>
      <c r="J8" s="38"/>
      <c r="K8" s="38"/>
      <c r="L8" s="47" t="s">
        <v>18</v>
      </c>
      <c r="M8" s="83">
        <v>129.72999999999999</v>
      </c>
      <c r="N8" s="83"/>
      <c r="O8" s="38"/>
      <c r="P8" s="31"/>
      <c r="Q8" s="4"/>
    </row>
    <row r="9" spans="1:17" ht="18" customHeight="1" thickBot="1" x14ac:dyDescent="0.3">
      <c r="A9" s="2"/>
      <c r="B9" s="9" t="s">
        <v>4</v>
      </c>
      <c r="C9" s="10">
        <v>3.2500000000000001E-2</v>
      </c>
      <c r="D9" s="11">
        <f>C2*C9</f>
        <v>4.2162249999999997</v>
      </c>
      <c r="E9" s="3"/>
      <c r="F9" s="85"/>
      <c r="G9" s="2"/>
      <c r="H9" s="50"/>
      <c r="I9" s="27"/>
      <c r="J9" s="38"/>
      <c r="K9" s="38"/>
      <c r="L9" s="45" t="s">
        <v>19</v>
      </c>
      <c r="M9" s="48">
        <v>3.2500000000000001E-2</v>
      </c>
      <c r="N9" s="38"/>
      <c r="O9" s="38"/>
      <c r="P9" s="31"/>
      <c r="Q9" s="4"/>
    </row>
    <row r="10" spans="1:17" ht="18" customHeight="1" x14ac:dyDescent="0.2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>
        <v>0</v>
      </c>
      <c r="N10" s="38"/>
      <c r="O10" s="38"/>
      <c r="P10" s="31"/>
      <c r="Q10" s="4"/>
    </row>
    <row r="11" spans="1:17" ht="18" customHeight="1" x14ac:dyDescent="0.25">
      <c r="A11" s="2"/>
      <c r="B11" s="13" t="s">
        <v>10</v>
      </c>
      <c r="C11" s="14">
        <v>0.05</v>
      </c>
      <c r="D11" s="15">
        <f>C2*C11</f>
        <v>6.4864999999999995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>
        <v>0.12</v>
      </c>
      <c r="N11" s="38"/>
      <c r="O11" s="38"/>
      <c r="P11" s="31"/>
      <c r="Q11" s="4"/>
    </row>
    <row r="12" spans="1:17" ht="18" customHeight="1" thickBot="1" x14ac:dyDescent="0.3">
      <c r="A12" s="2"/>
      <c r="B12" s="40" t="s">
        <v>9</v>
      </c>
      <c r="C12" s="81">
        <f>SUM(D9:D11, C2)</f>
        <v>140.43272499999998</v>
      </c>
      <c r="D12" s="82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3">
      <c r="A13" s="2"/>
      <c r="B13" s="78" t="s">
        <v>6</v>
      </c>
      <c r="C13" s="79"/>
      <c r="D13" s="80"/>
      <c r="E13" s="3"/>
      <c r="F13" s="54" t="s">
        <v>25</v>
      </c>
      <c r="G13" s="2"/>
      <c r="H13" s="50"/>
      <c r="I13" s="27"/>
      <c r="J13" s="38"/>
      <c r="K13" s="39" t="s">
        <v>22</v>
      </c>
      <c r="L13" s="51" t="s">
        <v>42</v>
      </c>
      <c r="M13" s="39" t="s">
        <v>41</v>
      </c>
      <c r="N13" s="51" t="s">
        <v>44</v>
      </c>
      <c r="O13" s="38"/>
      <c r="P13" s="31"/>
      <c r="Q13" s="4"/>
    </row>
    <row r="14" spans="1:17" ht="18" customHeight="1" x14ac:dyDescent="0.25">
      <c r="A14" s="2"/>
      <c r="B14" s="16" t="s">
        <v>7</v>
      </c>
      <c r="C14" s="17">
        <v>0.15</v>
      </c>
      <c r="D14" s="18">
        <f>C12*C14</f>
        <v>21.064908749999997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25">
      <c r="A15" s="2"/>
      <c r="B15" s="19" t="s">
        <v>8</v>
      </c>
      <c r="C15" s="20">
        <v>2.5000000000000001E-2</v>
      </c>
      <c r="D15" s="21">
        <f>C12*C15</f>
        <v>3.5108181249999997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214.40110687022897</v>
      </c>
      <c r="N15" s="38"/>
      <c r="O15" s="38"/>
      <c r="P15" s="31"/>
      <c r="Q15" s="4"/>
    </row>
    <row r="16" spans="1:17" ht="18" customHeight="1" x14ac:dyDescent="0.2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2"/>
      <c r="K16" s="72"/>
      <c r="L16" s="72"/>
      <c r="M16" s="72"/>
      <c r="N16" s="72"/>
      <c r="O16" s="72"/>
      <c r="P16" s="31"/>
      <c r="Q16" s="4"/>
    </row>
    <row r="17" spans="1:17" ht="18" customHeight="1" x14ac:dyDescent="0.25">
      <c r="A17" s="2"/>
      <c r="B17" s="41" t="s">
        <v>14</v>
      </c>
      <c r="C17" s="66">
        <f>C12 / (1 - SUM(C5,C14:C16))</f>
        <v>193.70031034482756</v>
      </c>
      <c r="D17" s="67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2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56F8F-6CFB-4EA0-ABCA-AE55A8E793F8}">
  <dimension ref="A1:B11"/>
  <sheetViews>
    <sheetView workbookViewId="0">
      <selection activeCell="F9" sqref="F9"/>
    </sheetView>
  </sheetViews>
  <sheetFormatPr defaultRowHeight="15.75" x14ac:dyDescent="0.25"/>
  <cols>
    <col min="1" max="1" width="17.125" customWidth="1"/>
  </cols>
  <sheetData>
    <row r="1" spans="1:2" x14ac:dyDescent="0.25">
      <c r="A1" s="61" t="s">
        <v>29</v>
      </c>
      <c r="B1" s="61" t="s">
        <v>40</v>
      </c>
    </row>
    <row r="2" spans="1:2" x14ac:dyDescent="0.25">
      <c r="A2" t="s">
        <v>30</v>
      </c>
      <c r="B2" s="62">
        <v>2</v>
      </c>
    </row>
    <row r="3" spans="1:2" x14ac:dyDescent="0.25">
      <c r="A3" t="s">
        <v>31</v>
      </c>
      <c r="B3" s="62">
        <v>1</v>
      </c>
    </row>
    <row r="4" spans="1:2" x14ac:dyDescent="0.25">
      <c r="A4" t="s">
        <v>32</v>
      </c>
      <c r="B4" s="62">
        <v>4</v>
      </c>
    </row>
    <row r="5" spans="1:2" x14ac:dyDescent="0.25">
      <c r="A5" t="s">
        <v>33</v>
      </c>
      <c r="B5" s="62">
        <v>10</v>
      </c>
    </row>
    <row r="6" spans="1:2" x14ac:dyDescent="0.25">
      <c r="A6" t="s">
        <v>34</v>
      </c>
      <c r="B6" s="62">
        <v>10</v>
      </c>
    </row>
    <row r="7" spans="1:2" x14ac:dyDescent="0.25">
      <c r="A7" t="s">
        <v>35</v>
      </c>
      <c r="B7" s="62">
        <v>6</v>
      </c>
    </row>
    <row r="8" spans="1:2" x14ac:dyDescent="0.25">
      <c r="A8" t="s">
        <v>36</v>
      </c>
      <c r="B8" s="62">
        <v>2</v>
      </c>
    </row>
    <row r="9" spans="1:2" x14ac:dyDescent="0.25">
      <c r="A9" t="s">
        <v>38</v>
      </c>
      <c r="B9" s="62">
        <v>2</v>
      </c>
    </row>
    <row r="10" spans="1:2" x14ac:dyDescent="0.25">
      <c r="A10" t="s">
        <v>37</v>
      </c>
      <c r="B10" s="62">
        <v>2</v>
      </c>
    </row>
    <row r="11" spans="1:2" x14ac:dyDescent="0.25">
      <c r="A11" t="s">
        <v>39</v>
      </c>
      <c r="B11" s="62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Preços</vt:lpstr>
      <vt:lpstr>Quadros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2025-11-04T12:51:00Z</dcterms:modified>
</cp:coreProperties>
</file>