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70728100a5118cf0/Programação/WEGPrecos/"/>
    </mc:Choice>
  </mc:AlternateContent>
  <xr:revisionPtr revIDLastSave="2" documentId="13_ncr:1_{B8B02D99-1F77-4BCD-B913-557877CB8594}" xr6:coauthVersionLast="47" xr6:coauthVersionMax="47" xr10:uidLastSave="{F828AB8C-B1B0-45F1-9733-2387E8DEA188}"/>
  <bookViews>
    <workbookView xWindow="-98" yWindow="-98" windowWidth="19396" windowHeight="10276" tabRatio="500" xr2:uid="{00000000-000D-0000-FFFF-FFFF00000000}"/>
  </bookViews>
  <sheets>
    <sheet name="Preços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<sst xmlns="http://schemas.openxmlformats.org/spreadsheetml/2006/main" count="29" uniqueCount="29">
  <si>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</si>
  <si>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</si>
  <si>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</si>
  <si>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</si>
  <si>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</si>
  <si>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</si>
  <si>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</si>
  <si>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</si>
  <si>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</si>
  <si>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</si>
  <si>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</si>
  <si>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</si>
  <si>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</si>
  <si>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</si>
  <si>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</si>
  <si>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</si>
  <si>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</si>
  <si>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</si>
  <si>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Entrega</t>
  </si>
  <si>
    <t>Valor:</t>
  </si>
  <si>
    <t>IPI:</t>
  </si>
  <si>
    <t>Frete:</t>
  </si>
  <si>
    <t>ICMS:</t>
  </si>
  <si>
    <t>Faturamento:</t>
  </si>
  <si>
    <t>Total:</t>
  </si>
  <si>
    <t>INVERSOR CFW500C14P0T4DB20G2</t>
  </si>
  <si>
    <t>07/10/2025</t>
  </si>
  <si>
    <t>03/10/2025</t>
  </si>
  <si>
    <t>Pesquisa do item 15575707 realizada com sucesso.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</si>
</sst>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164" fontId="6" fillId="7" borderId="4" xfId="1" applyNumberFormat="1" applyFont="1" applyFill="1" applyBorder="1" applyAlignment="1">
      <alignment vertical="center"/>
    </xf>
    <xf numFmtId="10" fontId="0" fillId="6" borderId="0" xfId="0" applyNumberFormat="1" applyFill="1" applyAlignment="1">
      <alignment vertical="center"/>
    </xf>
    <xf numFmtId="0" fontId="0" fillId="6" borderId="16" xfId="0" applyFill="1" applyBorder="1" applyAlignment="1">
      <alignment vertical="center"/>
    </xf>
    <xf numFmtId="2" fontId="6" fillId="12" borderId="0" xfId="0" applyNumberFormat="1" applyFont="1" applyFill="1" applyBorder="1" applyAlignment="1">
      <alignment horizontal="left" vertical="center"/>
    </xf>
    <xf numFmtId="49" fontId="3" fillId="12" borderId="0" xfId="0" applyNumberFormat="1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6" borderId="24" xfId="0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FF5050"/>
      <color rgb="FFCCFF99"/>
      <color rgb="FFFFFF99"/>
      <color rgb="FFFF9999"/>
      <color rgb="FFFFCCCC"/>
      <color rgb="FF99CCFF"/>
      <color rgb="FF006600"/>
      <color rgb="FFCCFFFF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="85" zoomScaleNormal="85" workbookViewId="0">
      <selection activeCell="D7" sqref="D7"/>
    </sheetView>
  </sheetViews>
  <sheetFormatPr defaultColWidth="11" defaultRowHeight="15.75" x14ac:dyDescent="0.5"/>
  <cols>
    <col min="1" max="1" width="3.625" customWidth="1"/>
    <col min="2" max="2" width="21.625" customWidth="1"/>
    <col min="3" max="3" width="15.625" customWidth="1"/>
    <col min="4" max="4" width="11.625" customWidth="1"/>
    <col min="5" max="5" width="4.625" customWidth="1"/>
    <col min="6" max="6" width="19.5" customWidth="1"/>
    <col min="7" max="8" width="2.625" customWidth="1"/>
    <col min="9" max="9" width="3.625" customWidth="1"/>
    <col min="10" max="10" width="11" customWidth="1"/>
    <col min="11" max="11" width="12.5" bestFit="1" customWidth="1"/>
    <col min="12" max="12" width="12" customWidth="1"/>
    <col min="13" max="13" width="14.375" bestFit="1" customWidth="1"/>
    <col min="14" max="14" width="12" customWidth="1"/>
    <col min="15" max="15" width="12.125" customWidth="1"/>
    <col min="16" max="17" width="3.625" customWidth="1"/>
  </cols>
  <sheetData>
    <row r="1" spans="1:17" ht="17.100000000000001" customHeight="1" thickBot="1" x14ac:dyDescent="0.55000000000000004">
      <c r="A1" s="2"/>
      <c r="B1" s="51"/>
      <c r="C1" s="2"/>
      <c r="D1" s="2"/>
      <c r="E1" s="3"/>
      <c r="F1" s="3"/>
      <c r="G1" s="2"/>
      <c r="H1" s="52"/>
      <c r="I1" s="26"/>
      <c r="J1" s="33"/>
      <c r="K1" s="33"/>
      <c r="L1" s="33"/>
      <c r="M1" s="33"/>
      <c r="N1" s="33"/>
      <c r="O1" s="34"/>
      <c r="P1" s="30"/>
      <c r="Q1" s="4"/>
    </row>
    <row r="2" spans="1:17" ht="20.65" thickBot="1" x14ac:dyDescent="0.55000000000000004">
      <c r="A2" s="2"/>
      <c r="B2" s="43" t="s">
        <v>13</v>
      </c>
      <c r="C2" s="44">
        <v>3919.5</v>
      </c>
      <c r="D2" s="12"/>
      <c r="E2" s="3"/>
      <c r="F2" s="55" t="s">
        <v>15</v>
      </c>
      <c r="G2" s="2"/>
      <c r="H2" s="52"/>
      <c r="I2" s="27"/>
      <c r="J2" s="66" t="s">
        <v>17</v>
      </c>
      <c r="K2" s="66"/>
      <c r="L2" s="66"/>
      <c r="M2" s="66"/>
      <c r="N2" s="66"/>
      <c r="O2" s="66"/>
      <c r="P2" s="31"/>
      <c r="Q2" s="4"/>
    </row>
    <row r="3" spans="1:17" ht="18.399999999999999" thickBot="1" x14ac:dyDescent="0.55000000000000004">
      <c r="A3" s="2"/>
      <c r="B3" s="2"/>
      <c r="C3" s="2"/>
      <c r="D3" s="2"/>
      <c r="E3" s="3"/>
      <c r="F3" s="56">
        <v>15575707</v>
      </c>
      <c r="G3" s="2"/>
      <c r="H3" s="52"/>
      <c r="I3" s="27"/>
      <c r="J3" s="64" t="s">
        <v>28</v>
      </c>
      <c r="K3" s="65"/>
      <c r="L3" s="65"/>
      <c r="M3" s="65"/>
      <c r="N3" s="65"/>
      <c r="O3" s="65"/>
      <c r="P3" s="31"/>
      <c r="Q3" s="4"/>
    </row>
    <row r="4" spans="1:17" ht="16.149999999999999" thickBot="1" x14ac:dyDescent="0.55000000000000004">
      <c r="A4" s="2"/>
      <c r="B4" s="72" t="s">
        <v>1</v>
      </c>
      <c r="C4" s="73"/>
      <c r="D4" s="2"/>
      <c r="E4" s="3"/>
      <c r="F4" s="3"/>
      <c r="G4" s="2"/>
      <c r="H4" s="52"/>
      <c r="I4" s="27"/>
      <c r="J4" s="65"/>
      <c r="K4" s="65"/>
      <c r="L4" s="65"/>
      <c r="M4" s="65"/>
      <c r="N4" s="65"/>
      <c r="O4" s="65"/>
      <c r="P4" s="31"/>
      <c r="Q4" s="4"/>
    </row>
    <row r="5" spans="1:17" ht="22.5" customHeight="1" x14ac:dyDescent="0.5">
      <c r="A5" s="2"/>
      <c r="B5" s="5" t="s">
        <v>0</v>
      </c>
      <c r="C5" s="6">
        <v>0.1</v>
      </c>
      <c r="D5" s="2"/>
      <c r="E5" s="3"/>
      <c r="F5" s="57" t="s">
        <v>16</v>
      </c>
      <c r="G5" s="2"/>
      <c r="H5" s="52"/>
      <c r="I5" s="27"/>
      <c r="J5" s="67" t="s">
        <v>25</v>
      </c>
      <c r="K5" s="67"/>
      <c r="L5" s="67"/>
      <c r="M5" s="67"/>
      <c r="N5" s="67"/>
      <c r="O5" s="67"/>
      <c r="P5" s="31"/>
      <c r="Q5" s="4"/>
    </row>
    <row r="6" spans="1:17" ht="19.5" customHeight="1" x14ac:dyDescent="0.5">
      <c r="A6" s="2"/>
      <c r="B6" s="7" t="s">
        <v>2</v>
      </c>
      <c r="C6" s="8">
        <v>7.0000000000000007E-2</v>
      </c>
      <c r="D6" s="2"/>
      <c r="E6" s="3"/>
      <c r="F6" s="58">
        <v>1</v>
      </c>
      <c r="G6" s="2"/>
      <c r="H6" s="52"/>
      <c r="I6" s="27"/>
      <c r="J6" s="67"/>
      <c r="K6" s="67"/>
      <c r="L6" s="67"/>
      <c r="M6" s="67"/>
      <c r="N6" s="67"/>
      <c r="O6" s="67"/>
      <c r="P6" s="31"/>
      <c r="Q6" s="4"/>
    </row>
    <row r="7" spans="1:17" ht="21" customHeight="1" thickBot="1" x14ac:dyDescent="0.55000000000000004">
      <c r="A7" s="2"/>
      <c r="B7" s="46" t="s">
        <v>11</v>
      </c>
      <c r="C7" s="50">
        <f>C12 / (1 - SUM(C5:C6, C14:C16))</f>
        <v>6866.6049618320612</v>
      </c>
      <c r="D7" s="2"/>
      <c r="E7" s="3"/>
      <c r="F7" s="59"/>
      <c r="G7" s="2"/>
      <c r="H7" s="52"/>
      <c r="I7" s="27"/>
      <c r="J7" s="35"/>
      <c r="K7" s="35"/>
      <c r="L7" s="36"/>
      <c r="M7" s="61"/>
      <c r="N7" s="61"/>
      <c r="O7" s="37"/>
      <c r="P7" s="31"/>
      <c r="Q7" s="4"/>
    </row>
    <row r="8" spans="1:17" ht="18" customHeight="1" thickBot="1" x14ac:dyDescent="0.55000000000000004">
      <c r="A8" s="2"/>
      <c r="B8" s="69" t="s">
        <v>3</v>
      </c>
      <c r="C8" s="70"/>
      <c r="D8" s="71"/>
      <c r="E8" s="3"/>
      <c r="F8" s="3"/>
      <c r="G8" s="2"/>
      <c r="H8" s="52"/>
      <c r="I8" s="27"/>
      <c r="J8" s="38"/>
      <c r="K8" s="38"/>
      <c r="L8" s="47" t="s">
        <v>19</v>
      </c>
      <c r="M8" s="79">
        <v>3919.5</v>
      </c>
      <c r="N8" s="79"/>
      <c r="O8" s="38"/>
      <c r="P8" s="31"/>
      <c r="Q8" s="4"/>
    </row>
    <row r="9" spans="1:17" ht="18" customHeight="1" x14ac:dyDescent="0.5">
      <c r="A9" s="2"/>
      <c r="B9" s="9" t="s">
        <v>4</v>
      </c>
      <c r="C9" s="10">
        <v>9.7500000000000003E-2</v>
      </c>
      <c r="D9" s="11">
        <f>C2*C9</f>
        <v>382.15125</v>
      </c>
      <c r="E9" s="3"/>
      <c r="F9" s="3"/>
      <c r="G9" s="2"/>
      <c r="H9" s="52"/>
      <c r="I9" s="27"/>
      <c r="J9" s="38"/>
      <c r="K9" s="38"/>
      <c r="L9" s="45" t="s">
        <v>20</v>
      </c>
      <c r="M9" s="48">
        <v>9.7500000000000003E-2</v>
      </c>
      <c r="N9" s="38"/>
      <c r="O9" s="38"/>
      <c r="P9" s="31"/>
      <c r="Q9" s="4"/>
    </row>
    <row r="10" spans="1:17" ht="18" customHeight="1" x14ac:dyDescent="0.5">
      <c r="A10" s="2"/>
      <c r="B10" s="13" t="s">
        <v>5</v>
      </c>
      <c r="C10" s="14">
        <v>0</v>
      </c>
      <c r="D10" s="15">
        <f>(C2+D9)*C10</f>
        <v>0</v>
      </c>
      <c r="E10" s="3"/>
      <c r="F10" s="3"/>
      <c r="G10" s="2"/>
      <c r="H10" s="52"/>
      <c r="I10" s="27"/>
      <c r="J10" s="38"/>
      <c r="K10" s="38"/>
      <c r="L10" s="45" t="s">
        <v>21</v>
      </c>
      <c r="M10" s="48">
        <v>0</v>
      </c>
      <c r="N10" s="38"/>
      <c r="O10" s="38"/>
      <c r="P10" s="31"/>
      <c r="Q10" s="4"/>
    </row>
    <row r="11" spans="1:17" ht="18" customHeight="1" x14ac:dyDescent="0.5">
      <c r="A11" s="2"/>
      <c r="B11" s="13" t="s">
        <v>10</v>
      </c>
      <c r="C11" s="14">
        <v>0.05</v>
      </c>
      <c r="D11" s="15">
        <f>C2*C11</f>
        <v>195.97500000000002</v>
      </c>
      <c r="E11" s="3"/>
      <c r="F11" s="60"/>
      <c r="G11" s="2"/>
      <c r="H11" s="52"/>
      <c r="I11" s="27"/>
      <c r="J11" s="38"/>
      <c r="K11" s="38"/>
      <c r="L11" s="42" t="s">
        <v>22</v>
      </c>
      <c r="M11" s="48">
        <v>0.12</v>
      </c>
      <c r="N11" s="38"/>
      <c r="O11" s="38"/>
      <c r="P11" s="31"/>
      <c r="Q11" s="4"/>
    </row>
    <row r="12" spans="1:17" ht="18" customHeight="1" thickBot="1" x14ac:dyDescent="0.55000000000000004">
      <c r="A12" s="2"/>
      <c r="B12" s="40" t="s">
        <v>9</v>
      </c>
      <c r="C12" s="77">
        <f>SUM(D9:D11, C2)</f>
        <v>4497.6262500000003</v>
      </c>
      <c r="D12" s="78"/>
      <c r="E12" s="3"/>
      <c r="F12" s="3"/>
      <c r="G12" s="2"/>
      <c r="H12" s="52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55000000000000004">
      <c r="A13" s="2"/>
      <c r="B13" s="74" t="s">
        <v>6</v>
      </c>
      <c r="C13" s="75"/>
      <c r="D13" s="76"/>
      <c r="E13" s="3"/>
      <c r="F13" s="3"/>
      <c r="G13" s="2"/>
      <c r="H13" s="52"/>
      <c r="I13" s="27"/>
      <c r="J13" s="38"/>
      <c r="K13" s="39" t="s">
        <v>23</v>
      </c>
      <c r="L13" s="54" t="s">
        <v>27</v>
      </c>
      <c r="M13" s="39" t="s">
        <v>18</v>
      </c>
      <c r="N13" s="54" t="s">
        <v>26</v>
      </c>
      <c r="O13" s="38"/>
      <c r="P13" s="31"/>
      <c r="Q13" s="4"/>
    </row>
    <row r="14" spans="1:17" ht="18" customHeight="1" x14ac:dyDescent="0.5">
      <c r="A14" s="2"/>
      <c r="B14" s="16" t="s">
        <v>7</v>
      </c>
      <c r="C14" s="17">
        <v>0.15</v>
      </c>
      <c r="D14" s="18">
        <f>C12*C14</f>
        <v>674.64393749999999</v>
      </c>
      <c r="E14" s="3"/>
      <c r="F14" s="3"/>
      <c r="G14" s="2"/>
      <c r="H14" s="52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x14ac:dyDescent="0.5">
      <c r="A15" s="2"/>
      <c r="B15" s="19" t="s">
        <v>8</v>
      </c>
      <c r="C15" s="20">
        <v>2.5000000000000001E-2</v>
      </c>
      <c r="D15" s="21">
        <f>C12*C15</f>
        <v>112.44065625000002</v>
      </c>
      <c r="E15" s="3"/>
      <c r="F15" s="3"/>
      <c r="G15" s="2"/>
      <c r="H15" s="52"/>
      <c r="I15" s="27"/>
      <c r="J15" s="38"/>
      <c r="K15" s="38"/>
      <c r="L15" s="49" t="s">
        <v>24</v>
      </c>
      <c r="M15" s="53">
        <f>calcular_total(M8, C2, C7, F6)</f>
        <v>6866.6049999999996</v>
      </c>
      <c r="N15" s="38"/>
      <c r="O15" s="38"/>
      <c r="P15" s="31"/>
      <c r="Q15" s="4"/>
    </row>
    <row r="16" spans="1:17" ht="18" customHeight="1" x14ac:dyDescent="0.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2"/>
      <c r="I16" s="27"/>
      <c r="J16" s="68"/>
      <c r="K16" s="68"/>
      <c r="L16" s="68"/>
      <c r="M16" s="68"/>
      <c r="N16" s="68"/>
      <c r="O16" s="68"/>
      <c r="P16" s="31"/>
      <c r="Q16" s="4"/>
    </row>
    <row r="17" spans="1:17" ht="18" customHeight="1" x14ac:dyDescent="0.5">
      <c r="A17" s="2"/>
      <c r="B17" s="41" t="s">
        <v>14</v>
      </c>
      <c r="C17" s="62">
        <f>C12 / (1 - SUM(C5,C14:C16))</f>
        <v>6203.622413793104</v>
      </c>
      <c r="D17" s="63"/>
      <c r="E17" s="3"/>
      <c r="F17" s="3"/>
      <c r="G17" s="2"/>
      <c r="H17" s="52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5">
      <c r="A19" s="1"/>
      <c r="B19" s="1"/>
      <c r="C19" s="1"/>
      <c r="D19" s="1"/>
      <c r="E19" s="1"/>
      <c r="K19" s="25"/>
    </row>
  </sheetData>
  <mergeCells count="11"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William Gabriel Schossler</cp:lastModifiedBy>
  <dcterms:created xsi:type="dcterms:W3CDTF">2015-01-25T11:31:25Z</dcterms:created>
  <dcterms:modified xsi:type="dcterms:W3CDTF">2025-09-15T16:03:00Z</dcterms:modified>
</cp:coreProperties>
</file>