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0728100a5118cf0/Programação/WEGPrecos/"/>
    </mc:Choice>
  </mc:AlternateContent>
  <xr:revisionPtr revIDLastSave="28" documentId="13_ncr:1_{A75F2273-07E8-40A4-A0E7-14D3CCB77039}" xr6:coauthVersionLast="47" xr6:coauthVersionMax="47" xr10:uidLastSave="{CA8E5BA8-5C59-4BAB-84C4-7E6FF0FFF9A4}"/>
  <bookViews>
    <workbookView xWindow="-110" yWindow="-110" windowWidth="19420" windowHeight="10300" tabRatio="500" xr2:uid="{00000000-000D-0000-FFFF-FFFF00000000}"/>
  </bookViews>
  <sheets>
    <sheet name="Preç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<sst xmlns="http://schemas.openxmlformats.org/spreadsheetml/2006/main" count="34" uniqueCount="34">
  <si>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</si>
  <si>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</si>
  <si>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</si>
  <si>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</si>
  <si>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</si>
  <si>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</si>
  <si>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</si>
  <si>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</si>
  <si>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</si>
  <si>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</si>
  <si>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</si>
  <si>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</si>
  <si>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</si>
  <si>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</si>
  <si>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</si>
  <si>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</si>
  <si>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</si>
  <si>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</si>
  <si>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</si>
  <si>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</si>
  <si>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</si>
  <si>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</si>
  <si>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</si>
  <si>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</si>
  <si>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</si>
  <si>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</si>
  <si>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</si>
  <si>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</si>
  <si>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</si>
  <si>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Entrega:</t>
  </si>
  <si>
    <t>RELE MONITORAMENTO RMW17-FF01D97</t>
  </si>
  <si>
    <t>11/12/2025</t>
  </si>
  <si>
    <t>09/12/2025</t>
  </si>
  <si>
    <t>Pesquisa do item 14226362 realizada com sucesso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</si>
</sst>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  <xf numFmtId="0" fontId="9" fillId="12" borderId="0" xfId="0" applyFont="1" applyFill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E7" sqref="E7"/>
    </sheetView>
  </sheetViews>
  <sheetFormatPr defaultColWidth="11" defaultRowHeight="15.5" x14ac:dyDescent="0.35"/>
  <cols>
    <col min="1" max="1" width="3.58203125" customWidth="1"/>
    <col min="2" max="2" width="21.58203125" customWidth="1"/>
    <col min="3" max="3" width="15.58203125" customWidth="1"/>
    <col min="4" max="4" width="12.75" bestFit="1" customWidth="1"/>
    <col min="5" max="5" width="4.58203125" customWidth="1"/>
    <col min="6" max="6" width="20.08203125" customWidth="1"/>
    <col min="7" max="8" width="2.58203125" customWidth="1"/>
    <col min="9" max="9" width="3.58203125" customWidth="1"/>
    <col min="10" max="10" width="10.58203125" customWidth="1"/>
    <col min="11" max="11" width="12.58203125" customWidth="1"/>
    <col min="12" max="13" width="13.58203125" customWidth="1"/>
    <col min="14" max="14" width="12.58203125" customWidth="1"/>
    <col min="15" max="15" width="10.58203125" customWidth="1"/>
    <col min="16" max="17" width="3.58203125" customWidth="1"/>
  </cols>
  <sheetData>
    <row r="1" spans="1:17" ht="17.149999999999999" customHeight="1" thickBot="1" x14ac:dyDescent="0.4">
      <c r="A1" s="2"/>
      <c r="B1" s="61"/>
      <c r="C1" s="61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2" thickBot="1" x14ac:dyDescent="0.4">
      <c r="A2" s="2"/>
      <c r="B2" s="43" t="s">
        <v>13</v>
      </c>
      <c r="C2" s="44">
        <v>129.72999999999999</v>
      </c>
      <c r="D2" s="12"/>
      <c r="E2" s="3"/>
      <c r="F2" s="58" t="s">
        <v>15</v>
      </c>
      <c r="G2" s="2"/>
      <c r="H2" s="50"/>
      <c r="I2" s="27"/>
      <c r="J2" s="67" t="s">
        <v>17</v>
      </c>
      <c r="K2" s="67"/>
      <c r="L2" s="67"/>
      <c r="M2" s="67"/>
      <c r="N2" s="67"/>
      <c r="O2" s="67"/>
      <c r="P2" s="31"/>
      <c r="Q2" s="4"/>
    </row>
    <row r="3" spans="1:17" ht="19" thickBot="1" x14ac:dyDescent="0.4">
      <c r="A3" s="2"/>
      <c r="B3" s="62"/>
      <c r="C3" s="62"/>
      <c r="D3" s="2"/>
      <c r="E3" s="3"/>
      <c r="F3" s="57">
        <v>14226362</v>
      </c>
      <c r="G3" s="2"/>
      <c r="H3" s="50"/>
      <c r="I3" s="27"/>
      <c r="J3" s="83" t="s">
        <v>33</v>
      </c>
      <c r="K3" s="66"/>
      <c r="L3" s="66"/>
      <c r="M3" s="66"/>
      <c r="N3" s="66"/>
      <c r="O3" s="66"/>
      <c r="P3" s="31"/>
      <c r="Q3" s="4"/>
    </row>
    <row r="4" spans="1:17" ht="16" thickBot="1" x14ac:dyDescent="0.4">
      <c r="A4" s="2"/>
      <c r="B4" s="73" t="s">
        <v>1</v>
      </c>
      <c r="C4" s="74"/>
      <c r="D4" s="2"/>
      <c r="E4" s="3"/>
      <c r="F4" s="3"/>
      <c r="G4" s="2"/>
      <c r="H4" s="50"/>
      <c r="I4" s="27"/>
      <c r="J4" s="66"/>
      <c r="K4" s="66"/>
      <c r="L4" s="66"/>
      <c r="M4" s="66"/>
      <c r="N4" s="66"/>
      <c r="O4" s="66"/>
      <c r="P4" s="31"/>
      <c r="Q4" s="4"/>
    </row>
    <row r="5" spans="1:17" ht="22.5" customHeight="1" thickBot="1" x14ac:dyDescent="0.4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68" t="s">
        <v>30</v>
      </c>
      <c r="K5" s="68"/>
      <c r="L5" s="68"/>
      <c r="M5" s="68"/>
      <c r="N5" s="68"/>
      <c r="O5" s="68"/>
      <c r="P5" s="31"/>
      <c r="Q5" s="4"/>
    </row>
    <row r="6" spans="1:17" ht="19.5" customHeight="1" x14ac:dyDescent="0.3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68"/>
      <c r="K6" s="68"/>
      <c r="L6" s="68"/>
      <c r="M6" s="68"/>
      <c r="N6" s="68"/>
      <c r="O6" s="68"/>
      <c r="P6" s="31"/>
      <c r="Q6" s="4"/>
    </row>
    <row r="7" spans="1:17" ht="21" customHeight="1" thickBot="1" x14ac:dyDescent="0.4">
      <c r="A7" s="2"/>
      <c r="B7" s="46" t="s">
        <v>11</v>
      </c>
      <c r="C7" s="53">
        <f>C12 / (1 - SUM(C5:C6, C14:C16))</f>
        <v>214.40110687022897</v>
      </c>
      <c r="D7" s="2"/>
      <c r="E7" s="3"/>
      <c r="F7" s="52"/>
      <c r="G7" s="2"/>
      <c r="H7" s="50"/>
      <c r="I7" s="27"/>
      <c r="J7" s="35"/>
      <c r="K7" s="35"/>
      <c r="L7" s="36"/>
      <c r="M7" s="63"/>
      <c r="N7" s="63"/>
      <c r="O7" s="37"/>
      <c r="P7" s="31"/>
      <c r="Q7" s="4"/>
    </row>
    <row r="8" spans="1:17" ht="18" customHeight="1" thickBot="1" x14ac:dyDescent="0.4">
      <c r="A8" s="2"/>
      <c r="B8" s="70" t="s">
        <v>3</v>
      </c>
      <c r="C8" s="71"/>
      <c r="D8" s="72"/>
      <c r="E8" s="3"/>
      <c r="F8" s="81" t="s">
        <v>26</v>
      </c>
      <c r="G8" s="2"/>
      <c r="H8" s="50"/>
      <c r="I8" s="27"/>
      <c r="J8" s="38"/>
      <c r="K8" s="38"/>
      <c r="L8" s="47" t="s">
        <v>18</v>
      </c>
      <c r="M8" s="80">
        <v>129.72999999999999</v>
      </c>
      <c r="N8" s="80"/>
      <c r="O8" s="38"/>
      <c r="P8" s="31"/>
      <c r="Q8" s="4"/>
    </row>
    <row r="9" spans="1:17" ht="18" customHeight="1" thickBot="1" x14ac:dyDescent="0.4">
      <c r="A9" s="2"/>
      <c r="B9" s="9" t="s">
        <v>4</v>
      </c>
      <c r="C9" s="10">
        <v>3.2500000000000001E-2</v>
      </c>
      <c r="D9" s="11">
        <f>C2*C9</f>
        <v>4.2162249999999997</v>
      </c>
      <c r="E9" s="3"/>
      <c r="F9" s="82"/>
      <c r="G9" s="2"/>
      <c r="H9" s="50"/>
      <c r="I9" s="27"/>
      <c r="J9" s="38"/>
      <c r="K9" s="38"/>
      <c r="L9" s="45" t="s">
        <v>19</v>
      </c>
      <c r="M9" s="48">
        <v>3.2500000000000001E-2</v>
      </c>
      <c r="N9" s="38"/>
      <c r="O9" s="38"/>
      <c r="P9" s="31"/>
      <c r="Q9" s="4"/>
    </row>
    <row r="10" spans="1:17" ht="18" customHeight="1" x14ac:dyDescent="0.3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>
        <v>0</v>
      </c>
      <c r="N10" s="38"/>
      <c r="O10" s="38"/>
      <c r="P10" s="31"/>
      <c r="Q10" s="4"/>
    </row>
    <row r="11" spans="1:17" ht="18" customHeight="1" x14ac:dyDescent="0.35">
      <c r="A11" s="2"/>
      <c r="B11" s="13" t="s">
        <v>10</v>
      </c>
      <c r="C11" s="14">
        <v>0.05</v>
      </c>
      <c r="D11" s="15">
        <f>C2*C11</f>
        <v>6.4864999999999995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>
        <v>0.12</v>
      </c>
      <c r="N11" s="38"/>
      <c r="O11" s="38"/>
      <c r="P11" s="31"/>
      <c r="Q11" s="4"/>
    </row>
    <row r="12" spans="1:17" ht="18" customHeight="1" thickBot="1" x14ac:dyDescent="0.4">
      <c r="A12" s="2"/>
      <c r="B12" s="40" t="s">
        <v>9</v>
      </c>
      <c r="C12" s="78">
        <f>SUM(D9:D11, C2)</f>
        <v>140.43272499999998</v>
      </c>
      <c r="D12" s="79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4">
      <c r="A13" s="2"/>
      <c r="B13" s="75" t="s">
        <v>6</v>
      </c>
      <c r="C13" s="76"/>
      <c r="D13" s="77"/>
      <c r="E13" s="3"/>
      <c r="F13" s="54" t="s">
        <v>25</v>
      </c>
      <c r="G13" s="2"/>
      <c r="H13" s="50"/>
      <c r="I13" s="27"/>
      <c r="J13" s="38"/>
      <c r="K13" s="39" t="s">
        <v>22</v>
      </c>
      <c r="L13" s="51" t="s">
        <v>32</v>
      </c>
      <c r="M13" s="39" t="s">
        <v>29</v>
      </c>
      <c r="N13" s="51" t="s">
        <v>31</v>
      </c>
      <c r="O13" s="38"/>
      <c r="P13" s="31"/>
      <c r="Q13" s="4"/>
    </row>
    <row r="14" spans="1:17" ht="18" customHeight="1" x14ac:dyDescent="0.35">
      <c r="A14" s="2"/>
      <c r="B14" s="16" t="s">
        <v>7</v>
      </c>
      <c r="C14" s="17">
        <v>0.15</v>
      </c>
      <c r="D14" s="18">
        <f>C12*C14</f>
        <v>21.064908749999997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35">
      <c r="A15" s="2"/>
      <c r="B15" s="19" t="s">
        <v>8</v>
      </c>
      <c r="C15" s="20">
        <v>2.5000000000000001E-2</v>
      </c>
      <c r="D15" s="21">
        <f>C12*C15</f>
        <v>3.5108181249999997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214.40110687022897</v>
      </c>
      <c r="N15" s="38"/>
      <c r="O15" s="38"/>
      <c r="P15" s="31"/>
      <c r="Q15" s="4"/>
    </row>
    <row r="16" spans="1:17" ht="18" customHeight="1" x14ac:dyDescent="0.3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69"/>
      <c r="K16" s="69"/>
      <c r="L16" s="69"/>
      <c r="M16" s="69"/>
      <c r="N16" s="69"/>
      <c r="O16" s="69"/>
      <c r="P16" s="31"/>
      <c r="Q16" s="4"/>
    </row>
    <row r="17" spans="1:17" ht="18" customHeight="1" x14ac:dyDescent="0.35">
      <c r="A17" s="2"/>
      <c r="B17" s="41" t="s">
        <v>14</v>
      </c>
      <c r="C17" s="64">
        <f>C12 / (1 - SUM(C5,C14:C16))</f>
        <v>193.70031034482756</v>
      </c>
      <c r="D17" s="65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3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3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William Gabriel Schossler</cp:lastModifiedBy>
  <dcterms:created xsi:type="dcterms:W3CDTF">2015-01-25T11:31:25Z</dcterms:created>
  <dcterms:modified xsi:type="dcterms:W3CDTF">2025-12-08T22:11:06Z</dcterms:modified>
</cp:coreProperties>
</file>